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gents\dsep-iai=claude\docs\"/>
    </mc:Choice>
  </mc:AlternateContent>
  <xr:revisionPtr revIDLastSave="0" documentId="8_{1258ADA6-52F1-4341-BD1D-CA3A85F35E6C}" xr6:coauthVersionLast="47" xr6:coauthVersionMax="47" xr10:uidLastSave="{00000000-0000-0000-0000-000000000000}"/>
  <bookViews>
    <workbookView xWindow="-120" yWindow="-120" windowWidth="38640" windowHeight="21120" activeTab="1" xr2:uid="{CE95875C-E9CB-4E78-9F63-6B66D061ADAF}"/>
  </bookViews>
  <sheets>
    <sheet name="Project Board" sheetId="1" r:id="rId1"/>
    <sheet name="Doc 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D2" i="1"/>
  <c r="H2" i="1" l="1"/>
</calcChain>
</file>

<file path=xl/sharedStrings.xml><?xml version="1.0" encoding="utf-8"?>
<sst xmlns="http://schemas.openxmlformats.org/spreadsheetml/2006/main" count="302" uniqueCount="151">
  <si>
    <t>DSEP AI Project Board (간소화 관리 모판)</t>
  </si>
  <si>
    <t>관리 원칙: DSEP 인프라 담당자는 개발 세부기술이 아닌 준비상태·일정·요청·이슈·산출물·평가판정을 관리</t>
  </si>
  <si>
    <t>전체</t>
  </si>
  <si>
    <t>Done</t>
  </si>
  <si>
    <t>진행률</t>
  </si>
  <si>
    <t>No</t>
  </si>
  <si>
    <t>Phase</t>
  </si>
  <si>
    <t>Milestone</t>
  </si>
  <si>
    <t>Key Action Item</t>
  </si>
  <si>
    <t>Deliverable (Check Point)</t>
  </si>
  <si>
    <t>관련 문서</t>
  </si>
  <si>
    <t>Owner</t>
  </si>
  <si>
    <t>Status</t>
  </si>
  <si>
    <t>완료일</t>
  </si>
  <si>
    <t>Phase 0. Pre-Infrastructure Setup</t>
  </si>
  <si>
    <t>0.1 DSEP 환경 Gap 및 자원 구성</t>
  </si>
  <si>
    <t>기존 DSEP 환경의 추가 필요사항(서버, Storage, 계정, 보안 등)을 점검하고 반영 계획을 확정</t>
  </si>
  <si>
    <t>DSEP Gap &amp; Resource Plan</t>
  </si>
  <si>
    <t>② DSEP Readiness &amp; I/O Spec</t>
  </si>
  <si>
    <t>DSEP 인프라 담당자</t>
  </si>
  <si>
    <t>Not Started</t>
  </si>
  <si>
    <t>협력사별 Private Zone, VM/Server, 자원 Quota 및 접근권한을 구성하고 설비사 Onboarding과 접속 검증을 완료</t>
  </si>
  <si>
    <t>Workspace Provisioning &amp; Onboarding Checklist</t>
  </si>
  <si>
    <t>DSEP 인프라 담당자+보안</t>
  </si>
  <si>
    <t>0.2 사내 자원 및 I/O 운영 연결</t>
  </si>
  <si>
    <t>사내 데이터·컴퓨팅 자원 연결 필요 여부와 승인, 보안 및 운영 방식을 확정</t>
  </si>
  <si>
    <t>Internal Resource Connectivity Plan</t>
  </si>
  <si>
    <t>DSEP 인프라 담당자+사내 IT·보안</t>
  </si>
  <si>
    <t>Input 전달→DSEP 처리→Output 회수와 반입·반출·장애지원 절차를 시험하고 인프라 착수를 승인</t>
  </si>
  <si>
    <t>End-to-End Infra Readiness &amp; G0 Record</t>
  </si>
  <si>
    <t>Phase 1. Initiation &amp; Readiness</t>
  </si>
  <si>
    <t>1.1 Use Case &amp; Scope Definition</t>
  </si>
  <si>
    <t>Target 제품·Module·Equipment, 해결할 업무 문제, 적용 범위 및 제외 범위를 확정</t>
  </si>
  <si>
    <t>Scope &amp; Problem Definition</t>
  </si>
  <si>
    <t>① Project Charter &amp; R&amp;R</t>
  </si>
  <si>
    <t>사내 개발부서</t>
  </si>
  <si>
    <t>사내 개발부서가 제공할 Input, DSEP 모델이 반환할 Output 및 업무 활용 방식을 정의</t>
  </si>
  <si>
    <t>AI Use Case &amp; I/O Definition</t>
  </si>
  <si>
    <t>① Project Charter &amp; R&amp;R / ② DSEP Readiness &amp; I/O Spec</t>
  </si>
  <si>
    <t>사내 개발부서+설비사</t>
  </si>
  <si>
    <t>기술·업무 KPI, Baseline 및 결과 Acceptance 기준을 정의</t>
  </si>
  <si>
    <t>KPI &amp; Acceptance Criteria</t>
  </si>
  <si>
    <t>1.2 Collaboration &amp; R&amp;R</t>
  </si>
  <si>
    <t>DSEP 인프라 담당자, 설비사, 사내 개발부서의 역할과 책임 경계를 확정</t>
  </si>
  <si>
    <t>RACI &amp; Responsibility Boundary</t>
  </si>
  <si>
    <t>공동</t>
  </si>
  <si>
    <t>업무 요청·질의·Feedback, 의사결정, 승인 및 Escalation 경로를 정의</t>
  </si>
  <si>
    <t>Governance &amp; Communication Workflow</t>
  </si>
  <si>
    <t>데이터·모델·산출물 교환, 보안, IP·사용권 및 성능 미달 시 Rework 원칙을 확정</t>
  </si>
  <si>
    <t>Collaboration Agreement</t>
  </si>
  <si>
    <t>공동(구매·법무·보안)</t>
  </si>
  <si>
    <t>1.3 Integrated Plan &amp; Data Readiness</t>
  </si>
  <si>
    <t>Milestone, 주요 산출물, 보고 주기, 담당자 및 Stage Gate를 포함한 통합 계획을 확정</t>
  </si>
  <si>
    <t>Integrated Project Plan</t>
  </si>
  <si>
    <t>필요 데이터 Source·Owner·승인상태와 제공 일정을 정리</t>
  </si>
  <si>
    <t>Data Provision Plan</t>
  </si>
  <si>
    <t>Input·Output Schema, 전달 방식, Version 및 변경 관리 기준을 확정</t>
  </si>
  <si>
    <t>I/O Specification</t>
  </si>
  <si>
    <t>범위·역할·데이터·인프라 준비상태를 종합 검토하고 개발 착수를 승인</t>
  </si>
  <si>
    <t>Kick-off Minutes &amp; G1 Record</t>
  </si>
  <si>
    <t>Phase 2. Development Coordination &amp; Progress Management</t>
  </si>
  <si>
    <t>2.1 Development Plan &amp; Coordination</t>
  </si>
  <si>
    <t>설비사가 개발 일정, 주요 Milestone 및 제출 예정 산출물이 포함된 개발계획을 제출</t>
  </si>
  <si>
    <t>Vendor Development Plan</t>
  </si>
  <si>
    <t>③ PM Management Log</t>
  </si>
  <si>
    <t>설비사</t>
  </si>
  <si>
    <t>사내 개발부서의 요구사항·우선순위·검토 일정과 설비사 개발계획을 정렬</t>
  </si>
  <si>
    <t>Integrated Working Schedule</t>
  </si>
  <si>
    <t>2.2 Input, Data &amp; Infra Support</t>
  </si>
  <si>
    <t>데이터·Input 요청, 제공 일정, DSEP 반입 및 설비사 수신 여부를 통합 추적</t>
  </si>
  <si>
    <t>Data/Input Request &amp; Delivery Tracker</t>
  </si>
  <si>
    <t>서버·자원·패키지·접근권한 등 인프라 지원 요청과 처리결과를 관리</t>
  </si>
  <si>
    <t>Infrastructure Support Log</t>
  </si>
  <si>
    <t>2.3 Progress, Issue &amp; Change Management</t>
  </si>
  <si>
    <t>설비사 정기 진행현황과 계획 대비 Milestone·산출물 완료상태를 확인</t>
  </si>
  <si>
    <t>Progress Report &amp; Milestone Tracker</t>
  </si>
  <si>
    <t>Risk, Assumption, Issue, Dependency 및 Action Item을 통합 관리</t>
  </si>
  <si>
    <t>RAID &amp; Action Log</t>
  </si>
  <si>
    <t>주요 의사결정, Escalation 및 범위·일정·요구사항 변경의 영향과 승인상태를 관리</t>
  </si>
  <si>
    <t>Decision &amp; Change Log</t>
  </si>
  <si>
    <t>2.4 Interim Review &amp; Candidate Submission</t>
  </si>
  <si>
    <t>설비사 중간 결과, 사내 개발부서 Feedback 및 보완조치 진행상태를 관리</t>
  </si>
  <si>
    <t>Interim Review &amp; Rework Record</t>
  </si>
  <si>
    <t>설비사가 평가 대상 Model Version, 결과, 사용방법 및 Known Limitation을 포함한 Candidate를 제출</t>
  </si>
  <si>
    <t>Candidate Submission Package</t>
  </si>
  <si>
    <t>④ Model Submission &amp; Evaluation</t>
  </si>
  <si>
    <t>제출 Package의 필수항목과 Input→Output 평가 경로의 준비상태를 확인</t>
  </si>
  <si>
    <t>Submission &amp; Evaluation Readiness Checklist</t>
  </si>
  <si>
    <t>Candidate 제출 완료와 사내 평가 착수 가능 여부를 검토하고 평가부서에 인계</t>
  </si>
  <si>
    <t>G2 Record &amp; Evaluation Handover</t>
  </si>
  <si>
    <t>사내 개발부서+DSEP 인프라 담당자</t>
  </si>
  <si>
    <t>Phase 3. Evaluation, Pilot &amp; Closure Management</t>
  </si>
  <si>
    <t>3.1 Acceptance Evaluation Management</t>
  </si>
  <si>
    <t>평가 대상·Dataset·기간·참여자·증빙 양식 및 판정 절차를 확정</t>
  </si>
  <si>
    <t>Evaluation Plan</t>
  </si>
  <si>
    <t>설비사 자체 평가와 사내 Acceptance 평가 결과를 수집·비교하고 성능·업무효과·안정성·잔여 Risk를 종합 검토</t>
  </si>
  <si>
    <t>Evaluation Scorecard &amp; Review Report</t>
  </si>
  <si>
    <t>Pass, Conditional Pass, Rework 또는 Fail을 판정하고 보완·재평가 일정을 관리</t>
  </si>
  <si>
    <t>Acceptance Decision &amp; Rework Tracker (G3 Record)</t>
  </si>
  <si>
    <t>3.2 Pilot &amp; Go/No-Go</t>
  </si>
  <si>
    <t>Pilot 대상, 기간, 운영조건, 표본 수, 성공기준 및 Input·Output 운영절차를 확정</t>
  </si>
  <si>
    <t>Pilot Plan</t>
  </si>
  <si>
    <t>⑤ Pilot, Closure &amp; Expansion</t>
  </si>
  <si>
    <t>Pilot 결과와 실제 결과 비교자료, 사용자 VOC, KPI Baseline 대비 효과 및 운영 Risk를 수집·종합 평가</t>
  </si>
  <si>
    <t>Pilot Result Report (KPI·VOC 종합)</t>
  </si>
  <si>
    <t>Go, Conditional Go, Rework 또는 Stop을 결정하고 Pilot Acceptance를 승인</t>
  </si>
  <si>
    <t>Go/No-Go Decision &amp; G4 Record</t>
  </si>
  <si>
    <t>3.3 Handover &amp; Closure</t>
  </si>
  <si>
    <t>최종 Asset·Version·사용방법·운영지원 절차와 미해결 이슈를 인계</t>
  </si>
  <si>
    <t>Final Handover Package</t>
  </si>
  <si>
    <t>사용권, 보존·삭제 대상, 접근권한 회수 및 프로젝트 종료 승인을 완료</t>
  </si>
  <si>
    <t>Closure Record</t>
  </si>
  <si>
    <t>DSEP 인프라 담당자+법무·보안</t>
  </si>
  <si>
    <t>3.4 Standardization &amp; Expansion</t>
  </si>
  <si>
    <t>Lessons Learned를 반영해 협력사 Onboarding, 진행관리 및 평가 Template를 개선</t>
  </si>
  <si>
    <t>Standard Improvement Action List</t>
  </si>
  <si>
    <t>확대 후보, 추가 인프라 용량·비용, 추진 Roadmap 및 Scale-out 승인안을 수립</t>
  </si>
  <si>
    <t>Expansion Roadmap &amp; G5 Record</t>
  </si>
  <si>
    <t>통합 문서 5종 작성 현황</t>
  </si>
  <si>
    <t>문서명</t>
  </si>
  <si>
    <t>단계</t>
  </si>
  <si>
    <t>관련 Gate</t>
  </si>
  <si>
    <t>작성 주체</t>
  </si>
  <si>
    <t>비고</t>
  </si>
  <si>
    <t>①</t>
  </si>
  <si>
    <t>Project Charter &amp; R&amp;R</t>
  </si>
  <si>
    <t>Phase 1</t>
  </si>
  <si>
    <t>G1</t>
  </si>
  <si>
    <t>범위·KPI·역할·협업원칙·통합계획·착수승인</t>
  </si>
  <si>
    <t>②</t>
  </si>
  <si>
    <t>DSEP Readiness &amp; I/O Spec</t>
  </si>
  <si>
    <t>Phase 0~1</t>
  </si>
  <si>
    <t>G0·G1</t>
  </si>
  <si>
    <t>인프라·자원연결·데이터 준비·I/O 규격·반입반출</t>
  </si>
  <si>
    <t>③</t>
  </si>
  <si>
    <t>PM Management Log</t>
  </si>
  <si>
    <t>Phase 2 (상시)</t>
  </si>
  <si>
    <t>G2</t>
  </si>
  <si>
    <t>대장: 본 파일 RAID·Action·Decision 탭</t>
  </si>
  <si>
    <t>④</t>
  </si>
  <si>
    <t>Model Submission &amp; Evaluation</t>
  </si>
  <si>
    <t>Phase 2~3</t>
  </si>
  <si>
    <t>G2·G3</t>
  </si>
  <si>
    <t>설비사+사내 개발부서</t>
  </si>
  <si>
    <t>Candidate 제출·평가·Acceptance 판정·Rework</t>
  </si>
  <si>
    <t>⑤</t>
  </si>
  <si>
    <t>Pilot, Closure &amp; Expansion</t>
  </si>
  <si>
    <t>Phase 3</t>
  </si>
  <si>
    <t>G4·G5</t>
  </si>
  <si>
    <t>사내 개발부서+공동</t>
  </si>
  <si>
    <t>Pilot·Go/No-Go·인계·종료·확대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</si>
</sst>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1"/>
      <color theme="1"/>
      <name val="맑은 고딕"/>
      <family val="2"/>
      <scheme val="minor"/>
    </font>
    <font>
      <b/>
      <sz val="14"/>
      <color rgb="FF1E276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5B6472"/>
      <name val="Malgun Gothic"/>
      <family val="3"/>
      <charset val="129"/>
    </font>
    <font>
      <b/>
      <sz val="10"/>
      <color rgb="FF5B6472"/>
      <name val="Malgun Gothic"/>
      <family val="3"/>
      <charset val="129"/>
    </font>
    <font>
      <b/>
      <sz val="10"/>
      <color rgb="FF1E2761"/>
      <name val="Malgun Gothic"/>
      <family val="3"/>
      <charset val="129"/>
    </font>
    <font>
      <b/>
      <sz val="9.5"/>
      <color rgb="FFFFFFFF"/>
      <name val="Malgun Gothic"/>
      <family val="3"/>
      <charset val="129"/>
    </font>
    <font>
      <sz val="9.5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E9E4F2"/>
      </patternFill>
    </fill>
    <fill>
      <patternFill patternType="solid">
        <fgColor rgb="FFE3E9F7"/>
      </patternFill>
    </fill>
    <fill>
      <patternFill patternType="solid">
        <fgColor rgb="FFDBE8F5"/>
      </patternFill>
    </fill>
    <fill>
      <patternFill patternType="solid">
        <fgColor rgb="FFDCEBEA"/>
      </patternFill>
    </fill>
  </fills>
  <borders count="2">
    <border>
      <left/>
      <right/>
      <top/>
      <bottom/>
      <diagonal/>
    </border>
    <border>
      <left style="thin">
        <color rgb="FFB7BCC8"/>
      </left>
      <right style="thin">
        <color rgb="FFB7BCC8"/>
      </right>
      <top style="thin">
        <color rgb="FFB7BCC8"/>
      </top>
      <bottom style="thin">
        <color rgb="FFB7BCC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6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</cellXfs>
  <cellStyles count="1">
    <cellStyle name="표준" xfId="0" builtinId="0"/>
  </cellStyles>
  <dxfs count="7">
    <dxf>
      <fill>
        <patternFill patternType="solid">
          <fgColor rgb="FFD9E1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E2D7-AF3D-42C9-814A-FF3C94527D88}">
  <dimension ref="A1:I3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J5" sqref="J5"/>
    </sheetView>
  </sheetViews>
  <sheetFormatPr defaultRowHeight="16.5"/>
  <cols>
    <col min="1" max="1" width="5" customWidth="1"/>
    <col min="2" max="3" width="30" customWidth="1"/>
    <col min="4" max="4" width="42" customWidth="1"/>
    <col min="5" max="5" width="38" customWidth="1"/>
    <col min="6" max="6" width="30" customWidth="1"/>
    <col min="7" max="7" width="17" customWidth="1"/>
    <col min="8" max="8" width="12" customWidth="1"/>
    <col min="9" max="9" width="10" customWidth="1"/>
  </cols>
  <sheetData>
    <row r="1" spans="1:9" ht="20.25" customHeight="1">
      <c r="A1" s="1" t="s">
        <v>0</v>
      </c>
    </row>
    <row r="2" spans="1:9">
      <c r="A2" s="2" t="s">
        <v>1</v>
      </c>
      <c r="C2" s="3" t="s">
        <v>2</v>
      </c>
      <c r="D2" s="4">
        <f>COUNTA($A$5:$A$39)</f>
        <v>35</v>
      </c>
      <c r="E2" s="3" t="s">
        <v>3</v>
      </c>
      <c r="F2" s="4">
        <f>COUNTIF($H$5:$H$39,"Done")</f>
        <v>0</v>
      </c>
      <c r="G2" s="3" t="s">
        <v>4</v>
      </c>
      <c r="H2" s="5">
        <f>IF(D2=0,0,F2/D2)</f>
        <v>0</v>
      </c>
    </row>
    <row r="4" spans="1:9" ht="27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</row>
    <row r="5" spans="1:9" ht="27">
      <c r="A5" s="7">
        <v>1</v>
      </c>
      <c r="B5" s="8" t="s">
        <v>14</v>
      </c>
      <c r="C5" s="9" t="s">
        <v>15</v>
      </c>
      <c r="D5" s="10" t="s">
        <v>16</v>
      </c>
      <c r="E5" s="10" t="s">
        <v>17</v>
      </c>
      <c r="F5" s="9" t="s">
        <v>18</v>
      </c>
      <c r="G5" s="9" t="s">
        <v>19</v>
      </c>
      <c r="H5" s="9" t="s">
        <v>20</v>
      </c>
      <c r="I5" s="9"/>
    </row>
    <row r="6" spans="1:9" ht="40.5">
      <c r="A6" s="7">
        <v>2</v>
      </c>
      <c r="B6" s="8" t="s">
        <v>14</v>
      </c>
      <c r="C6" s="9" t="s">
        <v>15</v>
      </c>
      <c r="D6" s="10" t="s">
        <v>21</v>
      </c>
      <c r="E6" s="10" t="s">
        <v>22</v>
      </c>
      <c r="F6" s="9" t="s">
        <v>18</v>
      </c>
      <c r="G6" s="9" t="s">
        <v>23</v>
      </c>
      <c r="H6" s="9" t="s">
        <v>20</v>
      </c>
      <c r="I6" s="9"/>
    </row>
    <row r="7" spans="1:9" ht="27">
      <c r="A7" s="7">
        <v>3</v>
      </c>
      <c r="B7" s="8" t="s">
        <v>14</v>
      </c>
      <c r="C7" s="9" t="s">
        <v>24</v>
      </c>
      <c r="D7" s="10" t="s">
        <v>25</v>
      </c>
      <c r="E7" s="10" t="s">
        <v>26</v>
      </c>
      <c r="F7" s="9" t="s">
        <v>18</v>
      </c>
      <c r="G7" s="9" t="s">
        <v>27</v>
      </c>
      <c r="H7" s="9" t="s">
        <v>20</v>
      </c>
      <c r="I7" s="9"/>
    </row>
    <row r="8" spans="1:9" ht="27">
      <c r="A8" s="7">
        <v>4</v>
      </c>
      <c r="B8" s="8" t="s">
        <v>14</v>
      </c>
      <c r="C8" s="9" t="s">
        <v>24</v>
      </c>
      <c r="D8" s="10" t="s">
        <v>28</v>
      </c>
      <c r="E8" s="10" t="s">
        <v>29</v>
      </c>
      <c r="F8" s="9" t="s">
        <v>18</v>
      </c>
      <c r="G8" s="9" t="s">
        <v>19</v>
      </c>
      <c r="H8" s="9" t="s">
        <v>20</v>
      </c>
      <c r="I8" s="9"/>
    </row>
    <row r="9" spans="1:9" ht="27">
      <c r="A9" s="7">
        <v>5</v>
      </c>
      <c r="B9" s="11" t="s">
        <v>30</v>
      </c>
      <c r="C9" s="9" t="s">
        <v>31</v>
      </c>
      <c r="D9" s="10" t="s">
        <v>32</v>
      </c>
      <c r="E9" s="10" t="s">
        <v>33</v>
      </c>
      <c r="F9" s="9" t="s">
        <v>34</v>
      </c>
      <c r="G9" s="9" t="s">
        <v>35</v>
      </c>
      <c r="H9" s="9" t="s">
        <v>20</v>
      </c>
      <c r="I9" s="9"/>
    </row>
    <row r="10" spans="1:9" ht="27">
      <c r="A10" s="7">
        <v>6</v>
      </c>
      <c r="B10" s="11" t="s">
        <v>30</v>
      </c>
      <c r="C10" s="9" t="s">
        <v>31</v>
      </c>
      <c r="D10" s="10" t="s">
        <v>36</v>
      </c>
      <c r="E10" s="10" t="s">
        <v>37</v>
      </c>
      <c r="F10" s="9" t="s">
        <v>38</v>
      </c>
      <c r="G10" s="9" t="s">
        <v>39</v>
      </c>
      <c r="H10" s="9" t="s">
        <v>20</v>
      </c>
      <c r="I10" s="9"/>
    </row>
    <row r="11" spans="1:9" ht="27">
      <c r="A11" s="7">
        <v>7</v>
      </c>
      <c r="B11" s="11" t="s">
        <v>30</v>
      </c>
      <c r="C11" s="9" t="s">
        <v>31</v>
      </c>
      <c r="D11" s="10" t="s">
        <v>40</v>
      </c>
      <c r="E11" s="10" t="s">
        <v>41</v>
      </c>
      <c r="F11" s="9" t="s">
        <v>34</v>
      </c>
      <c r="G11" s="9" t="s">
        <v>35</v>
      </c>
      <c r="H11" s="9" t="s">
        <v>20</v>
      </c>
      <c r="I11" s="9"/>
    </row>
    <row r="12" spans="1:9" ht="27">
      <c r="A12" s="7">
        <v>8</v>
      </c>
      <c r="B12" s="11" t="s">
        <v>30</v>
      </c>
      <c r="C12" s="9" t="s">
        <v>42</v>
      </c>
      <c r="D12" s="10" t="s">
        <v>43</v>
      </c>
      <c r="E12" s="10" t="s">
        <v>44</v>
      </c>
      <c r="F12" s="9" t="s">
        <v>34</v>
      </c>
      <c r="G12" s="9" t="s">
        <v>45</v>
      </c>
      <c r="H12" s="9" t="s">
        <v>20</v>
      </c>
      <c r="I12" s="9"/>
    </row>
    <row r="13" spans="1:9" ht="27">
      <c r="A13" s="7">
        <v>9</v>
      </c>
      <c r="B13" s="11" t="s">
        <v>30</v>
      </c>
      <c r="C13" s="9" t="s">
        <v>42</v>
      </c>
      <c r="D13" s="10" t="s">
        <v>46</v>
      </c>
      <c r="E13" s="10" t="s">
        <v>47</v>
      </c>
      <c r="F13" s="9" t="s">
        <v>34</v>
      </c>
      <c r="G13" s="9" t="s">
        <v>19</v>
      </c>
      <c r="H13" s="9" t="s">
        <v>20</v>
      </c>
      <c r="I13" s="9"/>
    </row>
    <row r="14" spans="1:9" ht="27">
      <c r="A14" s="7">
        <v>10</v>
      </c>
      <c r="B14" s="11" t="s">
        <v>30</v>
      </c>
      <c r="C14" s="9" t="s">
        <v>42</v>
      </c>
      <c r="D14" s="10" t="s">
        <v>48</v>
      </c>
      <c r="E14" s="10" t="s">
        <v>49</v>
      </c>
      <c r="F14" s="9" t="s">
        <v>34</v>
      </c>
      <c r="G14" s="9" t="s">
        <v>50</v>
      </c>
      <c r="H14" s="9" t="s">
        <v>20</v>
      </c>
      <c r="I14" s="9"/>
    </row>
    <row r="15" spans="1:9" ht="27">
      <c r="A15" s="7">
        <v>11</v>
      </c>
      <c r="B15" s="11" t="s">
        <v>30</v>
      </c>
      <c r="C15" s="9" t="s">
        <v>51</v>
      </c>
      <c r="D15" s="10" t="s">
        <v>52</v>
      </c>
      <c r="E15" s="10" t="s">
        <v>53</v>
      </c>
      <c r="F15" s="9" t="s">
        <v>34</v>
      </c>
      <c r="G15" s="9" t="s">
        <v>19</v>
      </c>
      <c r="H15" s="9" t="s">
        <v>20</v>
      </c>
      <c r="I15" s="9"/>
    </row>
    <row r="16" spans="1:9" ht="27">
      <c r="A16" s="7">
        <v>12</v>
      </c>
      <c r="B16" s="11" t="s">
        <v>30</v>
      </c>
      <c r="C16" s="9" t="s">
        <v>51</v>
      </c>
      <c r="D16" s="10" t="s">
        <v>54</v>
      </c>
      <c r="E16" s="10" t="s">
        <v>55</v>
      </c>
      <c r="F16" s="9" t="s">
        <v>18</v>
      </c>
      <c r="G16" s="9" t="s">
        <v>35</v>
      </c>
      <c r="H16" s="9" t="s">
        <v>20</v>
      </c>
      <c r="I16" s="9"/>
    </row>
    <row r="17" spans="1:9" ht="27">
      <c r="A17" s="7">
        <v>13</v>
      </c>
      <c r="B17" s="11" t="s">
        <v>30</v>
      </c>
      <c r="C17" s="9" t="s">
        <v>51</v>
      </c>
      <c r="D17" s="10" t="s">
        <v>56</v>
      </c>
      <c r="E17" s="10" t="s">
        <v>57</v>
      </c>
      <c r="F17" s="9" t="s">
        <v>18</v>
      </c>
      <c r="G17" s="9" t="s">
        <v>39</v>
      </c>
      <c r="H17" s="9" t="s">
        <v>20</v>
      </c>
      <c r="I17" s="9"/>
    </row>
    <row r="18" spans="1:9" ht="27">
      <c r="A18" s="7">
        <v>14</v>
      </c>
      <c r="B18" s="11" t="s">
        <v>30</v>
      </c>
      <c r="C18" s="9" t="s">
        <v>51</v>
      </c>
      <c r="D18" s="10" t="s">
        <v>58</v>
      </c>
      <c r="E18" s="10" t="s">
        <v>59</v>
      </c>
      <c r="F18" s="9" t="s">
        <v>38</v>
      </c>
      <c r="G18" s="9" t="s">
        <v>19</v>
      </c>
      <c r="H18" s="9" t="s">
        <v>20</v>
      </c>
      <c r="I18" s="9"/>
    </row>
    <row r="19" spans="1:9" ht="27">
      <c r="A19" s="7">
        <v>15</v>
      </c>
      <c r="B19" s="12" t="s">
        <v>60</v>
      </c>
      <c r="C19" s="9" t="s">
        <v>61</v>
      </c>
      <c r="D19" s="10" t="s">
        <v>62</v>
      </c>
      <c r="E19" s="10" t="s">
        <v>63</v>
      </c>
      <c r="F19" s="9" t="s">
        <v>64</v>
      </c>
      <c r="G19" s="9" t="s">
        <v>65</v>
      </c>
      <c r="H19" s="9" t="s">
        <v>20</v>
      </c>
      <c r="I19" s="9"/>
    </row>
    <row r="20" spans="1:9" ht="27">
      <c r="A20" s="7">
        <v>16</v>
      </c>
      <c r="B20" s="12" t="s">
        <v>60</v>
      </c>
      <c r="C20" s="9" t="s">
        <v>61</v>
      </c>
      <c r="D20" s="10" t="s">
        <v>66</v>
      </c>
      <c r="E20" s="10" t="s">
        <v>67</v>
      </c>
      <c r="F20" s="9" t="s">
        <v>64</v>
      </c>
      <c r="G20" s="9" t="s">
        <v>19</v>
      </c>
      <c r="H20" s="9" t="s">
        <v>20</v>
      </c>
      <c r="I20" s="9"/>
    </row>
    <row r="21" spans="1:9" ht="27">
      <c r="A21" s="7">
        <v>17</v>
      </c>
      <c r="B21" s="12" t="s">
        <v>60</v>
      </c>
      <c r="C21" s="9" t="s">
        <v>68</v>
      </c>
      <c r="D21" s="10" t="s">
        <v>69</v>
      </c>
      <c r="E21" s="10" t="s">
        <v>70</v>
      </c>
      <c r="F21" s="9" t="s">
        <v>64</v>
      </c>
      <c r="G21" s="9" t="s">
        <v>19</v>
      </c>
      <c r="H21" s="9" t="s">
        <v>20</v>
      </c>
      <c r="I21" s="9"/>
    </row>
    <row r="22" spans="1:9" ht="27">
      <c r="A22" s="7">
        <v>18</v>
      </c>
      <c r="B22" s="12" t="s">
        <v>60</v>
      </c>
      <c r="C22" s="9" t="s">
        <v>68</v>
      </c>
      <c r="D22" s="10" t="s">
        <v>71</v>
      </c>
      <c r="E22" s="10" t="s">
        <v>72</v>
      </c>
      <c r="F22" s="9" t="s">
        <v>64</v>
      </c>
      <c r="G22" s="9" t="s">
        <v>19</v>
      </c>
      <c r="H22" s="9" t="s">
        <v>20</v>
      </c>
      <c r="I22" s="9"/>
    </row>
    <row r="23" spans="1:9" ht="27">
      <c r="A23" s="7">
        <v>19</v>
      </c>
      <c r="B23" s="12" t="s">
        <v>60</v>
      </c>
      <c r="C23" s="9" t="s">
        <v>73</v>
      </c>
      <c r="D23" s="10" t="s">
        <v>74</v>
      </c>
      <c r="E23" s="10" t="s">
        <v>75</v>
      </c>
      <c r="F23" s="9" t="s">
        <v>64</v>
      </c>
      <c r="G23" s="9" t="s">
        <v>19</v>
      </c>
      <c r="H23" s="9" t="s">
        <v>20</v>
      </c>
      <c r="I23" s="9"/>
    </row>
    <row r="24" spans="1:9" ht="27">
      <c r="A24" s="7">
        <v>20</v>
      </c>
      <c r="B24" s="12" t="s">
        <v>60</v>
      </c>
      <c r="C24" s="9" t="s">
        <v>73</v>
      </c>
      <c r="D24" s="10" t="s">
        <v>76</v>
      </c>
      <c r="E24" s="10" t="s">
        <v>77</v>
      </c>
      <c r="F24" s="9" t="s">
        <v>64</v>
      </c>
      <c r="G24" s="9" t="s">
        <v>19</v>
      </c>
      <c r="H24" s="9" t="s">
        <v>20</v>
      </c>
      <c r="I24" s="9"/>
    </row>
    <row r="25" spans="1:9" ht="27">
      <c r="A25" s="7">
        <v>21</v>
      </c>
      <c r="B25" s="12" t="s">
        <v>60</v>
      </c>
      <c r="C25" s="9" t="s">
        <v>73</v>
      </c>
      <c r="D25" s="10" t="s">
        <v>78</v>
      </c>
      <c r="E25" s="10" t="s">
        <v>79</v>
      </c>
      <c r="F25" s="9" t="s">
        <v>64</v>
      </c>
      <c r="G25" s="9" t="s">
        <v>19</v>
      </c>
      <c r="H25" s="9" t="s">
        <v>20</v>
      </c>
      <c r="I25" s="9"/>
    </row>
    <row r="26" spans="1:9" ht="27">
      <c r="A26" s="7">
        <v>22</v>
      </c>
      <c r="B26" s="12" t="s">
        <v>60</v>
      </c>
      <c r="C26" s="9" t="s">
        <v>80</v>
      </c>
      <c r="D26" s="10" t="s">
        <v>81</v>
      </c>
      <c r="E26" s="10" t="s">
        <v>82</v>
      </c>
      <c r="F26" s="9" t="s">
        <v>64</v>
      </c>
      <c r="G26" s="9" t="s">
        <v>45</v>
      </c>
      <c r="H26" s="9" t="s">
        <v>20</v>
      </c>
      <c r="I26" s="9"/>
    </row>
    <row r="27" spans="1:9" ht="27">
      <c r="A27" s="7">
        <v>23</v>
      </c>
      <c r="B27" s="12" t="s">
        <v>60</v>
      </c>
      <c r="C27" s="9" t="s">
        <v>80</v>
      </c>
      <c r="D27" s="10" t="s">
        <v>83</v>
      </c>
      <c r="E27" s="10" t="s">
        <v>84</v>
      </c>
      <c r="F27" s="9" t="s">
        <v>85</v>
      </c>
      <c r="G27" s="9" t="s">
        <v>65</v>
      </c>
      <c r="H27" s="9" t="s">
        <v>20</v>
      </c>
      <c r="I27" s="9"/>
    </row>
    <row r="28" spans="1:9" ht="27">
      <c r="A28" s="7">
        <v>24</v>
      </c>
      <c r="B28" s="12" t="s">
        <v>60</v>
      </c>
      <c r="C28" s="9" t="s">
        <v>80</v>
      </c>
      <c r="D28" s="10" t="s">
        <v>86</v>
      </c>
      <c r="E28" s="10" t="s">
        <v>87</v>
      </c>
      <c r="F28" s="9" t="s">
        <v>85</v>
      </c>
      <c r="G28" s="9" t="s">
        <v>19</v>
      </c>
      <c r="H28" s="9" t="s">
        <v>20</v>
      </c>
      <c r="I28" s="9"/>
    </row>
    <row r="29" spans="1:9" ht="27">
      <c r="A29" s="7">
        <v>25</v>
      </c>
      <c r="B29" s="12" t="s">
        <v>60</v>
      </c>
      <c r="C29" s="9" t="s">
        <v>80</v>
      </c>
      <c r="D29" s="10" t="s">
        <v>88</v>
      </c>
      <c r="E29" s="10" t="s">
        <v>89</v>
      </c>
      <c r="F29" s="9" t="s">
        <v>85</v>
      </c>
      <c r="G29" s="9" t="s">
        <v>90</v>
      </c>
      <c r="H29" s="9" t="s">
        <v>20</v>
      </c>
      <c r="I29" s="9"/>
    </row>
    <row r="30" spans="1:9" ht="27">
      <c r="A30" s="7">
        <v>26</v>
      </c>
      <c r="B30" s="13" t="s">
        <v>91</v>
      </c>
      <c r="C30" s="9" t="s">
        <v>92</v>
      </c>
      <c r="D30" s="10" t="s">
        <v>93</v>
      </c>
      <c r="E30" s="10" t="s">
        <v>94</v>
      </c>
      <c r="F30" s="9" t="s">
        <v>85</v>
      </c>
      <c r="G30" s="9" t="s">
        <v>90</v>
      </c>
      <c r="H30" s="9" t="s">
        <v>20</v>
      </c>
      <c r="I30" s="9"/>
    </row>
    <row r="31" spans="1:9" ht="27">
      <c r="A31" s="7">
        <v>27</v>
      </c>
      <c r="B31" s="13" t="s">
        <v>91</v>
      </c>
      <c r="C31" s="9" t="s">
        <v>92</v>
      </c>
      <c r="D31" s="10" t="s">
        <v>95</v>
      </c>
      <c r="E31" s="10" t="s">
        <v>96</v>
      </c>
      <c r="F31" s="9" t="s">
        <v>85</v>
      </c>
      <c r="G31" s="9" t="s">
        <v>39</v>
      </c>
      <c r="H31" s="9" t="s">
        <v>20</v>
      </c>
      <c r="I31" s="9"/>
    </row>
    <row r="32" spans="1:9" ht="27">
      <c r="A32" s="7">
        <v>28</v>
      </c>
      <c r="B32" s="13" t="s">
        <v>91</v>
      </c>
      <c r="C32" s="9" t="s">
        <v>92</v>
      </c>
      <c r="D32" s="10" t="s">
        <v>97</v>
      </c>
      <c r="E32" s="10" t="s">
        <v>98</v>
      </c>
      <c r="F32" s="9" t="s">
        <v>85</v>
      </c>
      <c r="G32" s="9" t="s">
        <v>90</v>
      </c>
      <c r="H32" s="9" t="s">
        <v>20</v>
      </c>
      <c r="I32" s="9"/>
    </row>
    <row r="33" spans="1:9" ht="27">
      <c r="A33" s="7">
        <v>29</v>
      </c>
      <c r="B33" s="13" t="s">
        <v>91</v>
      </c>
      <c r="C33" s="9" t="s">
        <v>99</v>
      </c>
      <c r="D33" s="10" t="s">
        <v>100</v>
      </c>
      <c r="E33" s="10" t="s">
        <v>101</v>
      </c>
      <c r="F33" s="9" t="s">
        <v>102</v>
      </c>
      <c r="G33" s="9" t="s">
        <v>35</v>
      </c>
      <c r="H33" s="9" t="s">
        <v>20</v>
      </c>
      <c r="I33" s="9"/>
    </row>
    <row r="34" spans="1:9" ht="27">
      <c r="A34" s="7">
        <v>30</v>
      </c>
      <c r="B34" s="13" t="s">
        <v>91</v>
      </c>
      <c r="C34" s="9" t="s">
        <v>99</v>
      </c>
      <c r="D34" s="10" t="s">
        <v>103</v>
      </c>
      <c r="E34" s="10" t="s">
        <v>104</v>
      </c>
      <c r="F34" s="9" t="s">
        <v>102</v>
      </c>
      <c r="G34" s="9" t="s">
        <v>35</v>
      </c>
      <c r="H34" s="9" t="s">
        <v>20</v>
      </c>
      <c r="I34" s="9"/>
    </row>
    <row r="35" spans="1:9" ht="27">
      <c r="A35" s="7">
        <v>31</v>
      </c>
      <c r="B35" s="13" t="s">
        <v>91</v>
      </c>
      <c r="C35" s="9" t="s">
        <v>99</v>
      </c>
      <c r="D35" s="10" t="s">
        <v>105</v>
      </c>
      <c r="E35" s="10" t="s">
        <v>106</v>
      </c>
      <c r="F35" s="9" t="s">
        <v>102</v>
      </c>
      <c r="G35" s="9" t="s">
        <v>90</v>
      </c>
      <c r="H35" s="9" t="s">
        <v>20</v>
      </c>
      <c r="I35" s="9"/>
    </row>
    <row r="36" spans="1:9" ht="27">
      <c r="A36" s="7">
        <v>32</v>
      </c>
      <c r="B36" s="13" t="s">
        <v>91</v>
      </c>
      <c r="C36" s="9" t="s">
        <v>107</v>
      </c>
      <c r="D36" s="10" t="s">
        <v>108</v>
      </c>
      <c r="E36" s="10" t="s">
        <v>109</v>
      </c>
      <c r="F36" s="9" t="s">
        <v>102</v>
      </c>
      <c r="G36" s="9" t="s">
        <v>45</v>
      </c>
      <c r="H36" s="9" t="s">
        <v>20</v>
      </c>
      <c r="I36" s="9"/>
    </row>
    <row r="37" spans="1:9" ht="27">
      <c r="A37" s="7">
        <v>33</v>
      </c>
      <c r="B37" s="13" t="s">
        <v>91</v>
      </c>
      <c r="C37" s="9" t="s">
        <v>107</v>
      </c>
      <c r="D37" s="10" t="s">
        <v>110</v>
      </c>
      <c r="E37" s="10" t="s">
        <v>111</v>
      </c>
      <c r="F37" s="9" t="s">
        <v>102</v>
      </c>
      <c r="G37" s="9" t="s">
        <v>112</v>
      </c>
      <c r="H37" s="9" t="s">
        <v>20</v>
      </c>
      <c r="I37" s="9"/>
    </row>
    <row r="38" spans="1:9" ht="27">
      <c r="A38" s="7">
        <v>34</v>
      </c>
      <c r="B38" s="13" t="s">
        <v>91</v>
      </c>
      <c r="C38" s="9" t="s">
        <v>113</v>
      </c>
      <c r="D38" s="10" t="s">
        <v>114</v>
      </c>
      <c r="E38" s="10" t="s">
        <v>115</v>
      </c>
      <c r="F38" s="9" t="s">
        <v>102</v>
      </c>
      <c r="G38" s="9" t="s">
        <v>19</v>
      </c>
      <c r="H38" s="9" t="s">
        <v>20</v>
      </c>
      <c r="I38" s="9"/>
    </row>
    <row r="39" spans="1:9" ht="27">
      <c r="A39" s="7">
        <v>35</v>
      </c>
      <c r="B39" s="13" t="s">
        <v>91</v>
      </c>
      <c r="C39" s="9" t="s">
        <v>113</v>
      </c>
      <c r="D39" s="10" t="s">
        <v>116</v>
      </c>
      <c r="E39" s="10" t="s">
        <v>117</v>
      </c>
      <c r="F39" s="9" t="s">
        <v>102</v>
      </c>
      <c r="G39" s="9" t="s">
        <v>45</v>
      </c>
      <c r="H39" s="9" t="s">
        <v>20</v>
      </c>
      <c r="I39" s="9"/>
    </row>
  </sheetData>
  <phoneticPr fontId="2" type="noConversion"/>
  <conditionalFormatting sqref="H5:H39">
    <cfRule type="cellIs" dxfId="6" priority="1" operator="equal">
      <formula>"Done"</formula>
    </cfRule>
    <cfRule type="cellIs" dxfId="5" priority="2" operator="equal">
      <formula>"In Progress"</formula>
    </cfRule>
    <cfRule type="cellIs" dxfId="4" priority="3" operator="equal">
      <formula>"Hold"</formula>
    </cfRule>
    <cfRule type="cellIs" dxfId="3" priority="4" operator="equal">
      <formula>"N/A"</formula>
    </cfRule>
  </conditionalFormatting>
  <dataValidations count="1">
    <dataValidation type="list" allowBlank="1" showInputMessage="1" showErrorMessage="1" sqref="H5:H39" xr:uid="{23BC2382-0C44-4DCF-A6CA-C7FEE3AD2F1F}">
      <formula1>"Not Started,In Progress,Done,Hold,N/A"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C000-027C-4B6A-A590-280644B49A88}">
  <dimension ref="A1:G8"/>
  <sheetViews>
    <sheetView showGridLines="0" tabSelected="1" workbookViewId="0">
      <selection activeCell="G8" sqref="G8"/>
    </sheetView>
  </sheetViews>
  <sheetFormatPr defaultRowHeight="16.5"/>
  <cols>
    <col min="1" max="1" width="5" customWidth="1"/>
    <col min="2" max="2" width="34" customWidth="1"/>
    <col min="3" max="3" width="14" customWidth="1"/>
    <col min="4" max="4" width="11" customWidth="1"/>
    <col min="5" max="5" width="28" customWidth="1"/>
    <col min="6" max="6" width="13" customWidth="1"/>
    <col min="7" max="7" width="42" customWidth="1"/>
  </cols>
  <sheetData>
    <row r="1" spans="1:7" ht="20.25">
      <c r="A1" s="1" t="s">
        <v>118</v>
      </c>
    </row>
    <row r="3" spans="1:7">
      <c r="A3" s="14" t="s">
        <v>5</v>
      </c>
      <c r="B3" s="14" t="s">
        <v>119</v>
      </c>
      <c r="C3" s="14" t="s">
        <v>120</v>
      </c>
      <c r="D3" s="14" t="s">
        <v>121</v>
      </c>
      <c r="E3" s="14" t="s">
        <v>122</v>
      </c>
      <c r="F3" s="14" t="s">
        <v>12</v>
      </c>
      <c r="G3" s="14" t="s">
        <v>123</v>
      </c>
    </row>
    <row r="4" spans="1:7">
      <c r="A4" s="15" t="s">
        <v>124</v>
      </c>
      <c r="B4" s="16" t="s">
        <v>125</v>
      </c>
      <c r="C4" s="15" t="s">
        <v>126</v>
      </c>
      <c r="D4" s="15" t="s">
        <v>127</v>
      </c>
      <c r="E4" s="16" t="s">
        <v>19</v>
      </c>
      <c r="F4" s="16" t="s">
        <v>20</v>
      </c>
      <c r="G4" s="16" t="s">
        <v>128</v>
      </c>
    </row>
    <row r="5" spans="1:7">
      <c r="A5" s="15" t="s">
        <v>129</v>
      </c>
      <c r="B5" s="16" t="s">
        <v>130</v>
      </c>
      <c r="C5" s="15" t="s">
        <v>131</v>
      </c>
      <c r="D5" s="15" t="s">
        <v>132</v>
      </c>
      <c r="E5" s="16" t="s">
        <v>27</v>
      </c>
      <c r="F5" s="16" t="s">
        <v>20</v>
      </c>
      <c r="G5" s="16" t="s">
        <v>133</v>
      </c>
    </row>
    <row r="6" spans="1:7">
      <c r="A6" s="15" t="s">
        <v>134</v>
      </c>
      <c r="B6" s="16" t="s">
        <v>135</v>
      </c>
      <c r="C6" s="15" t="s">
        <v>136</v>
      </c>
      <c r="D6" s="15" t="s">
        <v>137</v>
      </c>
      <c r="E6" s="16" t="s">
        <v>19</v>
      </c>
      <c r="F6" s="16" t="s">
        <v>20</v>
      </c>
      <c r="G6" s="16" t="s">
        <v>138</v>
      </c>
    </row>
    <row r="7" spans="1:7">
      <c r="A7" s="15" t="s">
        <v>139</v>
      </c>
      <c r="B7" s="16" t="s">
        <v>140</v>
      </c>
      <c r="C7" s="15" t="s">
        <v>141</v>
      </c>
      <c r="D7" s="15" t="s">
        <v>142</v>
      </c>
      <c r="E7" s="16" t="s">
        <v>143</v>
      </c>
      <c r="F7" s="16" t="s">
        <v>20</v>
      </c>
      <c r="G7" s="16" t="s">
        <v>144</v>
      </c>
    </row>
    <row r="8" spans="1:7">
      <c r="A8" s="15" t="s">
        <v>145</v>
      </c>
      <c r="B8" s="16" t="s">
        <v>146</v>
      </c>
      <c r="C8" s="15" t="s">
        <v>147</v>
      </c>
      <c r="D8" s="15" t="s">
        <v>148</v>
      </c>
      <c r="E8" s="16" t="s">
        <v>149</v>
      </c>
      <c r="F8" s="16" t="s">
        <v>20</v>
      </c>
      <c r="G8" s="16" t="s">
        <v>150</v>
      </c>
    </row>
  </sheetData>
  <phoneticPr fontId="2" type="noConversion"/>
  <conditionalFormatting sqref="F4:F8">
    <cfRule type="cellIs" dxfId="2" priority="1" operator="equal">
      <formula>"Approved"</formula>
    </cfRule>
    <cfRule type="cellIs" dxfId="1" priority="2" operator="equal">
      <formula>"In Review"</formula>
    </cfRule>
    <cfRule type="cellIs" dxfId="0" priority="3" operator="equal">
      <formula>"Draft"</formula>
    </cfRule>
  </conditionalFormatting>
  <dataValidations count="1">
    <dataValidation type="list" allowBlank="1" showInputMessage="1" showErrorMessage="1" sqref="F4:F8" xr:uid="{65F49FA6-E615-4C93-9E5C-A5AE2BBC4DB6}">
      <formula1>"Not Started,Draft,In Review,Approved"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Project Board</vt:lpstr>
      <vt:lpstr>Doc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px0nq</dc:creator>
  <cp:lastModifiedBy>px0nq</cp:lastModifiedBy>
  <dcterms:created xsi:type="dcterms:W3CDTF">2026-08-07T05:55:01Z</dcterms:created>
  <dcterms:modified xsi:type="dcterms:W3CDTF">2026-08-07T05:56:47Z</dcterms:modified>
</cp:coreProperties>
</file>